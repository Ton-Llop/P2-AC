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<sst xmlns="http://schemas.openxmlformats.org/spreadsheetml/2006/main" count="85" uniqueCount="39">
  <si>
    <t>ESTÁTICOS</t>
  </si>
  <si>
    <t>Predictor</t>
  </si>
  <si>
    <t>applu</t>
  </si>
  <si>
    <t>art</t>
  </si>
  <si>
    <t>gzip</t>
  </si>
  <si>
    <t>mesa</t>
  </si>
  <si>
    <t>twolf</t>
  </si>
  <si>
    <t>Media Acierto</t>
  </si>
  <si>
    <t>Media IPC</t>
  </si>
  <si>
    <t>Not Taken</t>
  </si>
  <si>
    <t>Taken</t>
  </si>
  <si>
    <t>Perfect</t>
  </si>
  <si>
    <t>BIMODALES</t>
  </si>
  <si>
    <t>Tamaño PHT</t>
  </si>
  <si>
    <t>GSHARE</t>
  </si>
  <si>
    <t>GAG</t>
  </si>
  <si>
    <t>PAG</t>
  </si>
  <si>
    <t>Config (L1-L2)</t>
  </si>
  <si>
    <t>8-16</t>
  </si>
  <si>
    <t>16-64</t>
  </si>
  <si>
    <t>32-256</t>
  </si>
  <si>
    <t>64-1024</t>
  </si>
  <si>
    <t>32-2048</t>
  </si>
  <si>
    <t>GENERAL</t>
  </si>
  <si>
    <t>Tamaño</t>
  </si>
  <si>
    <t>T</t>
  </si>
  <si>
    <t>NT</t>
  </si>
  <si>
    <t>P</t>
  </si>
  <si>
    <t>Bimodal</t>
  </si>
  <si>
    <t>Gshare</t>
  </si>
  <si>
    <t>Gag</t>
  </si>
  <si>
    <t>Pag</t>
  </si>
  <si>
    <t>ALLOY</t>
  </si>
  <si>
    <t>Configuración</t>
  </si>
  <si>
    <t>8 - 8</t>
  </si>
  <si>
    <t>16 - 32</t>
  </si>
  <si>
    <t>32 - 128</t>
  </si>
  <si>
    <t>64 - 512</t>
  </si>
  <si>
    <t>Alloyed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</si>
</sst>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1" numFmtId="0" xfId="0" applyAlignment="1" applyFont="1">
      <alignment horizontal="center" readingOrder="0"/>
    </xf>
    <xf borderId="0" fillId="3" fontId="2" numFmtId="0" xfId="0" applyFill="1" applyFont="1"/>
    <xf borderId="0" fillId="0" fontId="2" numFmtId="164" xfId="0" applyAlignment="1" applyFont="1" applyNumberForma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de acierto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1'!$B$2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1'!$A$3:$A$5</c:f>
            </c:strRef>
          </c:cat>
          <c:val>
            <c:numRef>
              <c:f>'Hoja 1'!$B$3:$B$5</c:f>
              <c:numCache/>
            </c:numRef>
          </c:val>
        </c:ser>
        <c:ser>
          <c:idx val="1"/>
          <c:order val="1"/>
          <c:tx>
            <c:strRef>
              <c:f>'Hoja 1'!$C$2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'Hoja 1'!$A$3:$A$5</c:f>
            </c:strRef>
          </c:cat>
          <c:val>
            <c:numRef>
              <c:f>'Hoja 1'!$C$3:$C$5</c:f>
              <c:numCache/>
            </c:numRef>
          </c:val>
        </c:ser>
        <c:ser>
          <c:idx val="2"/>
          <c:order val="2"/>
          <c:tx>
            <c:strRef>
              <c:f>'Hoja 1'!$D$2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'Hoja 1'!$A$3:$A$5</c:f>
            </c:strRef>
          </c:cat>
          <c:val>
            <c:numRef>
              <c:f>'Hoja 1'!$D$3:$D$5</c:f>
              <c:numCache/>
            </c:numRef>
          </c:val>
        </c:ser>
        <c:ser>
          <c:idx val="3"/>
          <c:order val="3"/>
          <c:tx>
            <c:strRef>
              <c:f>'Hoja 1'!$E$2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'Hoja 1'!$A$3:$A$5</c:f>
            </c:strRef>
          </c:cat>
          <c:val>
            <c:numRef>
              <c:f>'Hoja 1'!$E$3:$E$5</c:f>
              <c:numCache/>
            </c:numRef>
          </c:val>
        </c:ser>
        <c:ser>
          <c:idx val="4"/>
          <c:order val="4"/>
          <c:tx>
            <c:strRef>
              <c:f>'Hoja 1'!$F$2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'Hoja 1'!$A$3:$A$5</c:f>
            </c:strRef>
          </c:cat>
          <c:val>
            <c:numRef>
              <c:f>'Hoja 1'!$F$3:$F$5</c:f>
              <c:numCache/>
            </c:numRef>
          </c:val>
        </c:ser>
        <c:ser>
          <c:idx val="5"/>
          <c:order val="5"/>
          <c:tx>
            <c:strRef>
              <c:f>'Hoja 1'!$G$2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'Hoja 1'!$A$3:$A$5</c:f>
            </c:strRef>
          </c:cat>
          <c:val>
            <c:numRef>
              <c:f>'Hoja 1'!$G$3:$G$5</c:f>
              <c:numCache/>
            </c:numRef>
          </c:val>
        </c:ser>
        <c:axId val="465986899"/>
        <c:axId val="211405842"/>
      </c:barChart>
      <c:catAx>
        <c:axId val="465986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Predictores estáticos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405842"/>
      </c:catAx>
      <c:valAx>
        <c:axId val="2114058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59868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de acierto en bimodales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1'!$B$9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1'!$A$10:$A$14</c:f>
            </c:strRef>
          </c:cat>
          <c:val>
            <c:numRef>
              <c:f>'Hoja 1'!$B$10:$B$14</c:f>
              <c:numCache/>
            </c:numRef>
          </c:val>
          <c:smooth val="0"/>
        </c:ser>
        <c:ser>
          <c:idx val="1"/>
          <c:order val="1"/>
          <c:tx>
            <c:strRef>
              <c:f>'Hoja 1'!$C$9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'Hoja 1'!$A$10:$A$14</c:f>
            </c:strRef>
          </c:cat>
          <c:val>
            <c:numRef>
              <c:f>'Hoja 1'!$C$10:$C$14</c:f>
              <c:numCache/>
            </c:numRef>
          </c:val>
          <c:smooth val="0"/>
        </c:ser>
        <c:ser>
          <c:idx val="2"/>
          <c:order val="2"/>
          <c:tx>
            <c:strRef>
              <c:f>'Hoja 1'!$D$9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'Hoja 1'!$A$10:$A$14</c:f>
            </c:strRef>
          </c:cat>
          <c:val>
            <c:numRef>
              <c:f>'Hoja 1'!$D$10:$D$14</c:f>
              <c:numCache/>
            </c:numRef>
          </c:val>
          <c:smooth val="0"/>
        </c:ser>
        <c:ser>
          <c:idx val="3"/>
          <c:order val="3"/>
          <c:tx>
            <c:strRef>
              <c:f>'Hoja 1'!$E$9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'Hoja 1'!$A$10:$A$14</c:f>
            </c:strRef>
          </c:cat>
          <c:val>
            <c:numRef>
              <c:f>'Hoja 1'!$E$10:$E$14</c:f>
              <c:numCache/>
            </c:numRef>
          </c:val>
          <c:smooth val="0"/>
        </c:ser>
        <c:ser>
          <c:idx val="4"/>
          <c:order val="4"/>
          <c:tx>
            <c:strRef>
              <c:f>'Hoja 1'!$F$9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'Hoja 1'!$A$10:$A$14</c:f>
            </c:strRef>
          </c:cat>
          <c:val>
            <c:numRef>
              <c:f>'Hoja 1'!$F$10:$F$14</c:f>
              <c:numCache/>
            </c:numRef>
          </c:val>
          <c:smooth val="0"/>
        </c:ser>
        <c:ser>
          <c:idx val="5"/>
          <c:order val="5"/>
          <c:tx>
            <c:strRef>
              <c:f>'Hoja 1'!$G$9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'Hoja 1'!$A$10:$A$14</c:f>
            </c:strRef>
          </c:cat>
          <c:val>
            <c:numRef>
              <c:f>'Hoja 1'!$G$10:$G$14</c:f>
              <c:numCache/>
            </c:numRef>
          </c:val>
          <c:smooth val="0"/>
        </c:ser>
        <c:axId val="366328107"/>
        <c:axId val="443117682"/>
      </c:lineChart>
      <c:catAx>
        <c:axId val="366328107"/>
        <c:scaling>
          <c:orientation val="minMax"/>
          <c:max val="2048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Tamaño PHT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3117682"/>
      </c:catAx>
      <c:valAx>
        <c:axId val="4431176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3281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de acierto en Gshare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1'!$B$18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1'!$A$19:$A$23</c:f>
            </c:strRef>
          </c:cat>
          <c:val>
            <c:numRef>
              <c:f>'Hoja 1'!$B$19:$B$23</c:f>
              <c:numCache/>
            </c:numRef>
          </c:val>
          <c:smooth val="0"/>
        </c:ser>
        <c:ser>
          <c:idx val="1"/>
          <c:order val="1"/>
          <c:tx>
            <c:strRef>
              <c:f>'Hoja 1'!$C$18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'Hoja 1'!$A$19:$A$23</c:f>
            </c:strRef>
          </c:cat>
          <c:val>
            <c:numRef>
              <c:f>'Hoja 1'!$C$19:$C$23</c:f>
              <c:numCache/>
            </c:numRef>
          </c:val>
          <c:smooth val="0"/>
        </c:ser>
        <c:ser>
          <c:idx val="2"/>
          <c:order val="2"/>
          <c:tx>
            <c:strRef>
              <c:f>'Hoja 1'!$D$18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'Hoja 1'!$A$19:$A$23</c:f>
            </c:strRef>
          </c:cat>
          <c:val>
            <c:numRef>
              <c:f>'Hoja 1'!$D$19:$D$23</c:f>
              <c:numCache/>
            </c:numRef>
          </c:val>
          <c:smooth val="0"/>
        </c:ser>
        <c:ser>
          <c:idx val="3"/>
          <c:order val="3"/>
          <c:tx>
            <c:strRef>
              <c:f>'Hoja 1'!$E$18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'Hoja 1'!$A$19:$A$23</c:f>
            </c:strRef>
          </c:cat>
          <c:val>
            <c:numRef>
              <c:f>'Hoja 1'!$E$19:$E$23</c:f>
              <c:numCache/>
            </c:numRef>
          </c:val>
          <c:smooth val="0"/>
        </c:ser>
        <c:ser>
          <c:idx val="4"/>
          <c:order val="4"/>
          <c:tx>
            <c:strRef>
              <c:f>'Hoja 1'!$F$18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'Hoja 1'!$A$19:$A$23</c:f>
            </c:strRef>
          </c:cat>
          <c:val>
            <c:numRef>
              <c:f>'Hoja 1'!$F$19:$F$23</c:f>
              <c:numCache/>
            </c:numRef>
          </c:val>
          <c:smooth val="0"/>
        </c:ser>
        <c:ser>
          <c:idx val="5"/>
          <c:order val="5"/>
          <c:tx>
            <c:strRef>
              <c:f>'Hoja 1'!$G$18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'Hoja 1'!$A$19:$A$23</c:f>
            </c:strRef>
          </c:cat>
          <c:val>
            <c:numRef>
              <c:f>'Hoja 1'!$G$19:$G$23</c:f>
              <c:numCache/>
            </c:numRef>
          </c:val>
          <c:smooth val="0"/>
        </c:ser>
        <c:axId val="1714394450"/>
        <c:axId val="2145554309"/>
      </c:lineChart>
      <c:catAx>
        <c:axId val="1714394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Tamaño PHT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554309"/>
      </c:catAx>
      <c:valAx>
        <c:axId val="21455543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3944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de acierto en GAg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1'!$B$27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1'!$A$28:$A$32</c:f>
            </c:strRef>
          </c:cat>
          <c:val>
            <c:numRef>
              <c:f>'Hoja 1'!$B$28:$B$32</c:f>
              <c:numCache/>
            </c:numRef>
          </c:val>
          <c:smooth val="0"/>
        </c:ser>
        <c:ser>
          <c:idx val="1"/>
          <c:order val="1"/>
          <c:tx>
            <c:strRef>
              <c:f>'Hoja 1'!$C$27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'Hoja 1'!$A$28:$A$32</c:f>
            </c:strRef>
          </c:cat>
          <c:val>
            <c:numRef>
              <c:f>'Hoja 1'!$C$28:$C$32</c:f>
              <c:numCache/>
            </c:numRef>
          </c:val>
          <c:smooth val="0"/>
        </c:ser>
        <c:ser>
          <c:idx val="2"/>
          <c:order val="2"/>
          <c:tx>
            <c:strRef>
              <c:f>'Hoja 1'!$D$27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'Hoja 1'!$A$28:$A$32</c:f>
            </c:strRef>
          </c:cat>
          <c:val>
            <c:numRef>
              <c:f>'Hoja 1'!$D$28:$D$32</c:f>
              <c:numCache/>
            </c:numRef>
          </c:val>
          <c:smooth val="0"/>
        </c:ser>
        <c:ser>
          <c:idx val="3"/>
          <c:order val="3"/>
          <c:tx>
            <c:strRef>
              <c:f>'Hoja 1'!$E$27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'Hoja 1'!$A$28:$A$32</c:f>
            </c:strRef>
          </c:cat>
          <c:val>
            <c:numRef>
              <c:f>'Hoja 1'!$E$28:$E$32</c:f>
              <c:numCache/>
            </c:numRef>
          </c:val>
          <c:smooth val="0"/>
        </c:ser>
        <c:ser>
          <c:idx val="4"/>
          <c:order val="4"/>
          <c:tx>
            <c:strRef>
              <c:f>'Hoja 1'!$F$27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'Hoja 1'!$A$28:$A$32</c:f>
            </c:strRef>
          </c:cat>
          <c:val>
            <c:numRef>
              <c:f>'Hoja 1'!$F$28:$F$32</c:f>
              <c:numCache/>
            </c:numRef>
          </c:val>
          <c:smooth val="0"/>
        </c:ser>
        <c:axId val="1514823443"/>
        <c:axId val="1710385151"/>
      </c:lineChart>
      <c:catAx>
        <c:axId val="1514823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Tamaño PHT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0385151"/>
      </c:catAx>
      <c:valAx>
        <c:axId val="1710385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8234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de acierto en PAg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1'!$B$35:$B$36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1'!$A$37:$A$42</c:f>
            </c:strRef>
          </c:cat>
          <c:val>
            <c:numRef>
              <c:f>'Hoja 1'!$B$37:$B$42</c:f>
              <c:numCache/>
            </c:numRef>
          </c:val>
          <c:smooth val="0"/>
        </c:ser>
        <c:ser>
          <c:idx val="1"/>
          <c:order val="1"/>
          <c:tx>
            <c:strRef>
              <c:f>'Hoja 1'!$C$35:$C$36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'Hoja 1'!$A$37:$A$42</c:f>
            </c:strRef>
          </c:cat>
          <c:val>
            <c:numRef>
              <c:f>'Hoja 1'!$C$37:$C$42</c:f>
              <c:numCache/>
            </c:numRef>
          </c:val>
          <c:smooth val="0"/>
        </c:ser>
        <c:ser>
          <c:idx val="2"/>
          <c:order val="2"/>
          <c:tx>
            <c:strRef>
              <c:f>'Hoja 1'!$D$35:$D$36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'Hoja 1'!$A$37:$A$42</c:f>
            </c:strRef>
          </c:cat>
          <c:val>
            <c:numRef>
              <c:f>'Hoja 1'!$D$37:$D$42</c:f>
              <c:numCache/>
            </c:numRef>
          </c:val>
          <c:smooth val="0"/>
        </c:ser>
        <c:ser>
          <c:idx val="3"/>
          <c:order val="3"/>
          <c:tx>
            <c:strRef>
              <c:f>'Hoja 1'!$E$35:$E$36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'Hoja 1'!$A$37:$A$42</c:f>
            </c:strRef>
          </c:cat>
          <c:val>
            <c:numRef>
              <c:f>'Hoja 1'!$E$37:$E$42</c:f>
              <c:numCache/>
            </c:numRef>
          </c:val>
          <c:smooth val="0"/>
        </c:ser>
        <c:ser>
          <c:idx val="4"/>
          <c:order val="4"/>
          <c:tx>
            <c:strRef>
              <c:f>'Hoja 1'!$F$35:$F$36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'Hoja 1'!$A$37:$A$42</c:f>
            </c:strRef>
          </c:cat>
          <c:val>
            <c:numRef>
              <c:f>'Hoja 1'!$F$37:$F$42</c:f>
              <c:numCache/>
            </c:numRef>
          </c:val>
          <c:smooth val="0"/>
        </c:ser>
        <c:ser>
          <c:idx val="5"/>
          <c:order val="5"/>
          <c:tx>
            <c:strRef>
              <c:f>'Hoja 1'!$G$35:$G$36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'Hoja 1'!$A$37:$A$42</c:f>
            </c:strRef>
          </c:cat>
          <c:val>
            <c:numRef>
              <c:f>'Hoja 1'!$G$37:$G$42</c:f>
              <c:numCache/>
            </c:numRef>
          </c:val>
          <c:smooth val="0"/>
        </c:ser>
        <c:axId val="2057527691"/>
        <c:axId val="1569213404"/>
      </c:lineChart>
      <c:catAx>
        <c:axId val="2057527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Config (L1-L2)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9213404"/>
      </c:catAx>
      <c:valAx>
        <c:axId val="15692134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75276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de acierto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1'!$B$47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1'!$A$48:$A$52</c:f>
            </c:strRef>
          </c:cat>
          <c:val>
            <c:numRef>
              <c:f>'Hoja 1'!$B$48:$B$52</c:f>
              <c:numCache/>
            </c:numRef>
          </c:val>
          <c:smooth val="0"/>
        </c:ser>
        <c:ser>
          <c:idx val="1"/>
          <c:order val="1"/>
          <c:tx>
            <c:strRef>
              <c:f>'Hoja 1'!$C$47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'Hoja 1'!$A$48:$A$52</c:f>
            </c:strRef>
          </c:cat>
          <c:val>
            <c:numRef>
              <c:f>'Hoja 1'!$C$48:$C$52</c:f>
              <c:numCache/>
            </c:numRef>
          </c:val>
          <c:smooth val="0"/>
        </c:ser>
        <c:ser>
          <c:idx val="2"/>
          <c:order val="2"/>
          <c:tx>
            <c:strRef>
              <c:f>'Hoja 1'!$D$47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'Hoja 1'!$A$48:$A$52</c:f>
            </c:strRef>
          </c:cat>
          <c:val>
            <c:numRef>
              <c:f>'Hoja 1'!$D$48:$D$52</c:f>
              <c:numCache/>
            </c:numRef>
          </c:val>
          <c:smooth val="0"/>
        </c:ser>
        <c:ser>
          <c:idx val="3"/>
          <c:order val="3"/>
          <c:tx>
            <c:strRef>
              <c:f>'Hoja 1'!$E$47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'Hoja 1'!$A$48:$A$52</c:f>
            </c:strRef>
          </c:cat>
          <c:val>
            <c:numRef>
              <c:f>'Hoja 1'!$E$48:$E$52</c:f>
              <c:numCache/>
            </c:numRef>
          </c:val>
          <c:smooth val="0"/>
        </c:ser>
        <c:ser>
          <c:idx val="4"/>
          <c:order val="4"/>
          <c:tx>
            <c:strRef>
              <c:f>'Hoja 1'!$F$47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'Hoja 1'!$A$48:$A$52</c:f>
            </c:strRef>
          </c:cat>
          <c:val>
            <c:numRef>
              <c:f>'Hoja 1'!$F$48:$F$52</c:f>
              <c:numCache/>
            </c:numRef>
          </c:val>
          <c:smooth val="0"/>
        </c:ser>
        <c:ser>
          <c:idx val="5"/>
          <c:order val="5"/>
          <c:tx>
            <c:strRef>
              <c:f>'Hoja 1'!$G$47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'Hoja 1'!$A$48:$A$52</c:f>
            </c:strRef>
          </c:cat>
          <c:val>
            <c:numRef>
              <c:f>'Hoja 1'!$G$48:$G$52</c:f>
              <c:numCache/>
            </c:numRef>
          </c:val>
          <c:smooth val="0"/>
        </c:ser>
        <c:ser>
          <c:idx val="6"/>
          <c:order val="6"/>
          <c:tx>
            <c:strRef>
              <c:f>'Hoja 1'!$H$47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'Hoja 1'!$A$48:$A$52</c:f>
            </c:strRef>
          </c:cat>
          <c:val>
            <c:numRef>
              <c:f>'Hoja 1'!$H$48:$H$52</c:f>
              <c:numCache/>
            </c:numRef>
          </c:val>
          <c:smooth val="0"/>
        </c:ser>
        <c:axId val="1101012605"/>
        <c:axId val="69179266"/>
      </c:lineChart>
      <c:catAx>
        <c:axId val="1101012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Tamaño relativo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79266"/>
      </c:catAx>
      <c:valAx>
        <c:axId val="69179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10126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Media IPC frente a Tamaño PHT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1'!$H$9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1'!$A$10:$A$14</c:f>
            </c:strRef>
          </c:cat>
          <c:val>
            <c:numRef>
              <c:f>'Hoja 1'!$H$10:$H$14</c:f>
              <c:numCache/>
            </c:numRef>
          </c:val>
        </c:ser>
        <c:axId val="369062879"/>
        <c:axId val="1644555388"/>
      </c:barChart>
      <c:catAx>
        <c:axId val="369062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Tamaño PHT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4555388"/>
      </c:catAx>
      <c:valAx>
        <c:axId val="1644555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Media IPC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90628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Media IPC frente a Tamaño PHT en Gshare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1'!$H$18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1'!$A$19:$A$23</c:f>
            </c:strRef>
          </c:cat>
          <c:val>
            <c:numRef>
              <c:f>'Hoja 1'!$H$19:$H$23</c:f>
              <c:numCache/>
            </c:numRef>
          </c:val>
        </c:ser>
        <c:axId val="1809395783"/>
        <c:axId val="4817792"/>
      </c:barChart>
      <c:catAx>
        <c:axId val="1809395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Tamaño PHT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17792"/>
      </c:catAx>
      <c:valAx>
        <c:axId val="4817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Media IPC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9395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Media IPC frente a Tamaño PHT en GAg</a:t>
            </a:r>
          </a:p>
        </c:rich>
      </c:tx>
      <c:layout>
        <c:manualLayout>
          <c:xMode val="edge"/>
          <c:yMode val="edge"/>
          <c:x val="0.03227124183006536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'Hoja 1'!$H$27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1'!$A$28:$A$32</c:f>
            </c:strRef>
          </c:cat>
          <c:val>
            <c:numRef>
              <c:f>'Hoja 1'!$H$28:$H$32</c:f>
              <c:numCache/>
            </c:numRef>
          </c:val>
        </c:ser>
        <c:axId val="1699489611"/>
        <c:axId val="132168391"/>
      </c:barChart>
      <c:catAx>
        <c:axId val="1699489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Tamaño PHT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168391"/>
      </c:catAx>
      <c:valAx>
        <c:axId val="132168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Media IPC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4896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Media IPC frente a Config (L1-L2) en PAg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1'!$H$35:$H$36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1'!$A$37:$A$42</c:f>
            </c:strRef>
          </c:cat>
          <c:val>
            <c:numRef>
              <c:f>'Hoja 1'!$H$37:$H$42</c:f>
              <c:numCache/>
            </c:numRef>
          </c:val>
        </c:ser>
        <c:axId val="94729634"/>
        <c:axId val="1585620735"/>
      </c:barChart>
      <c:catAx>
        <c:axId val="94729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Config (L1-L2)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620735"/>
      </c:catAx>
      <c:valAx>
        <c:axId val="1585620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Media IPC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7296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de acierto en Alloyed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1'!$B$56:$B$57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1'!$A$58:$A$61</c:f>
            </c:strRef>
          </c:cat>
          <c:val>
            <c:numRef>
              <c:f>'Hoja 1'!$B$58:$B$61</c:f>
              <c:numCache/>
            </c:numRef>
          </c:val>
          <c:smooth val="0"/>
        </c:ser>
        <c:ser>
          <c:idx val="1"/>
          <c:order val="1"/>
          <c:tx>
            <c:strRef>
              <c:f>'Hoja 1'!$C$56:$C$57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'Hoja 1'!$A$58:$A$61</c:f>
            </c:strRef>
          </c:cat>
          <c:val>
            <c:numRef>
              <c:f>'Hoja 1'!$C$58:$C$61</c:f>
              <c:numCache/>
            </c:numRef>
          </c:val>
          <c:smooth val="0"/>
        </c:ser>
        <c:ser>
          <c:idx val="2"/>
          <c:order val="2"/>
          <c:tx>
            <c:strRef>
              <c:f>'Hoja 1'!$D$56:$D$57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'Hoja 1'!$A$58:$A$61</c:f>
            </c:strRef>
          </c:cat>
          <c:val>
            <c:numRef>
              <c:f>'Hoja 1'!$D$58:$D$61</c:f>
              <c:numCache/>
            </c:numRef>
          </c:val>
          <c:smooth val="0"/>
        </c:ser>
        <c:ser>
          <c:idx val="3"/>
          <c:order val="3"/>
          <c:tx>
            <c:strRef>
              <c:f>'Hoja 1'!$E$56:$E$57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'Hoja 1'!$A$58:$A$61</c:f>
            </c:strRef>
          </c:cat>
          <c:val>
            <c:numRef>
              <c:f>'Hoja 1'!$E$58:$E$61</c:f>
              <c:numCache/>
            </c:numRef>
          </c:val>
          <c:smooth val="0"/>
        </c:ser>
        <c:ser>
          <c:idx val="4"/>
          <c:order val="4"/>
          <c:tx>
            <c:strRef>
              <c:f>'Hoja 1'!$F$56:$F$57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'Hoja 1'!$A$58:$A$61</c:f>
            </c:strRef>
          </c:cat>
          <c:val>
            <c:numRef>
              <c:f>'Hoja 1'!$F$58:$F$61</c:f>
              <c:numCache/>
            </c:numRef>
          </c:val>
          <c:smooth val="0"/>
        </c:ser>
        <c:ser>
          <c:idx val="5"/>
          <c:order val="5"/>
          <c:tx>
            <c:strRef>
              <c:f>'Hoja 1'!$G$56:$G$57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'Hoja 1'!$A$58:$A$61</c:f>
            </c:strRef>
          </c:cat>
          <c:val>
            <c:numRef>
              <c:f>'Hoja 1'!$G$58:$G$61</c:f>
              <c:numCache/>
            </c:numRef>
          </c:val>
          <c:smooth val="0"/>
        </c:ser>
        <c:axId val="1054045746"/>
        <c:axId val="30463061"/>
      </c:lineChart>
      <c:catAx>
        <c:axId val="1054045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Configuración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463061"/>
      </c:catAx>
      <c:valAx>
        <c:axId val="304630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045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Media IPC frente a Configuración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1'!$H$56:$H$57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1'!$A$58:$A$61</c:f>
            </c:strRef>
          </c:cat>
          <c:val>
            <c:numRef>
              <c:f>'Hoja 1'!$H$58:$H$61</c:f>
              <c:numCache/>
            </c:numRef>
          </c:val>
        </c:ser>
        <c:axId val="51543549"/>
        <c:axId val="1365757486"/>
      </c:barChart>
      <c:catAx>
        <c:axId val="51543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Configuración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757486"/>
      </c:catAx>
      <c:valAx>
        <c:axId val="13657574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Media IPC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5435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Comparativa general de % de acierto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1'!$B$66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1'!$A$67:$A$70</c:f>
            </c:strRef>
          </c:cat>
          <c:val>
            <c:numRef>
              <c:f>'Hoja 1'!$B$67:$B$70</c:f>
              <c:numCache/>
            </c:numRef>
          </c:val>
          <c:smooth val="0"/>
        </c:ser>
        <c:ser>
          <c:idx val="1"/>
          <c:order val="1"/>
          <c:tx>
            <c:strRef>
              <c:f>'Hoja 1'!$C$66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'Hoja 1'!$A$67:$A$70</c:f>
            </c:strRef>
          </c:cat>
          <c:val>
            <c:numRef>
              <c:f>'Hoja 1'!$C$67:$C$70</c:f>
              <c:numCache/>
            </c:numRef>
          </c:val>
          <c:smooth val="0"/>
        </c:ser>
        <c:ser>
          <c:idx val="2"/>
          <c:order val="2"/>
          <c:tx>
            <c:strRef>
              <c:f>'Hoja 1'!$D$66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'Hoja 1'!$A$67:$A$70</c:f>
            </c:strRef>
          </c:cat>
          <c:val>
            <c:numRef>
              <c:f>'Hoja 1'!$D$67:$D$70</c:f>
              <c:numCache/>
            </c:numRef>
          </c:val>
          <c:smooth val="0"/>
        </c:ser>
        <c:ser>
          <c:idx val="3"/>
          <c:order val="3"/>
          <c:tx>
            <c:strRef>
              <c:f>'Hoja 1'!$E$66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'Hoja 1'!$A$67:$A$70</c:f>
            </c:strRef>
          </c:cat>
          <c:val>
            <c:numRef>
              <c:f>'Hoja 1'!$E$67:$E$70</c:f>
              <c:numCache/>
            </c:numRef>
          </c:val>
          <c:smooth val="0"/>
        </c:ser>
        <c:ser>
          <c:idx val="4"/>
          <c:order val="4"/>
          <c:tx>
            <c:strRef>
              <c:f>'Hoja 1'!$F$66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'Hoja 1'!$A$67:$A$70</c:f>
            </c:strRef>
          </c:cat>
          <c:val>
            <c:numRef>
              <c:f>'Hoja 1'!$F$67:$F$70</c:f>
              <c:numCache/>
            </c:numRef>
          </c:val>
          <c:smooth val="0"/>
        </c:ser>
        <c:ser>
          <c:idx val="5"/>
          <c:order val="5"/>
          <c:tx>
            <c:strRef>
              <c:f>'Hoja 1'!$G$66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'Hoja 1'!$A$67:$A$70</c:f>
            </c:strRef>
          </c:cat>
          <c:val>
            <c:numRef>
              <c:f>'Hoja 1'!$G$67:$G$70</c:f>
              <c:numCache/>
            </c:numRef>
          </c:val>
          <c:smooth val="0"/>
        </c:ser>
        <c:ser>
          <c:idx val="6"/>
          <c:order val="6"/>
          <c:tx>
            <c:strRef>
              <c:f>'Hoja 1'!$H$66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'Hoja 1'!$A$67:$A$70</c:f>
            </c:strRef>
          </c:cat>
          <c:val>
            <c:numRef>
              <c:f>'Hoja 1'!$H$67:$H$70</c:f>
              <c:numCache/>
            </c:numRef>
          </c:val>
          <c:smooth val="0"/>
        </c:ser>
        <c:ser>
          <c:idx val="7"/>
          <c:order val="7"/>
          <c:tx>
            <c:strRef>
              <c:f>'Hoja 1'!$I$66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'Hoja 1'!$A$67:$A$70</c:f>
            </c:strRef>
          </c:cat>
          <c:val>
            <c:numRef>
              <c:f>'Hoja 1'!$I$67:$I$70</c:f>
              <c:numCache/>
            </c:numRef>
          </c:val>
          <c:smooth val="0"/>
        </c:ser>
        <c:axId val="301480195"/>
        <c:axId val="1896986963"/>
      </c:lineChart>
      <c:catAx>
        <c:axId val="301480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6986963"/>
      </c:catAx>
      <c:valAx>
        <c:axId val="1896986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1480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0</xdr:row>
      <xdr:rowOff>28575</xdr:rowOff>
    </xdr:from>
    <xdr:ext cx="2114550" cy="13335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200025</xdr:colOff>
      <xdr:row>7</xdr:row>
      <xdr:rowOff>142875</xdr:rowOff>
    </xdr:from>
    <xdr:ext cx="2390775" cy="14573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123825</xdr:colOff>
      <xdr:row>16</xdr:row>
      <xdr:rowOff>104775</xdr:rowOff>
    </xdr:from>
    <xdr:ext cx="2333625" cy="14573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238125</xdr:colOff>
      <xdr:row>25</xdr:row>
      <xdr:rowOff>57150</xdr:rowOff>
    </xdr:from>
    <xdr:ext cx="2457450" cy="15240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200025</xdr:colOff>
      <xdr:row>34</xdr:row>
      <xdr:rowOff>123825</xdr:rowOff>
    </xdr:from>
    <xdr:ext cx="2390775" cy="145732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876300</xdr:colOff>
      <xdr:row>44</xdr:row>
      <xdr:rowOff>161925</xdr:rowOff>
    </xdr:from>
    <xdr:ext cx="2657475" cy="164782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762000</xdr:colOff>
      <xdr:row>7</xdr:row>
      <xdr:rowOff>142875</xdr:rowOff>
    </xdr:from>
    <xdr:ext cx="2333625" cy="145732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762000</xdr:colOff>
      <xdr:row>16</xdr:row>
      <xdr:rowOff>38100</xdr:rowOff>
    </xdr:from>
    <xdr:ext cx="2457450" cy="152400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10</xdr:col>
      <xdr:colOff>857250</xdr:colOff>
      <xdr:row>25</xdr:row>
      <xdr:rowOff>76200</xdr:rowOff>
    </xdr:from>
    <xdr:ext cx="2276475" cy="1409700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10</xdr:col>
      <xdr:colOff>828675</xdr:colOff>
      <xdr:row>34</xdr:row>
      <xdr:rowOff>123825</xdr:rowOff>
    </xdr:from>
    <xdr:ext cx="2333625" cy="145732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8</xdr:col>
      <xdr:colOff>142875</xdr:colOff>
      <xdr:row>55</xdr:row>
      <xdr:rowOff>38100</xdr:rowOff>
    </xdr:from>
    <xdr:ext cx="2514600" cy="1524000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10</xdr:col>
      <xdr:colOff>857250</xdr:colOff>
      <xdr:row>55</xdr:row>
      <xdr:rowOff>38100</xdr:rowOff>
    </xdr:from>
    <xdr:ext cx="2657475" cy="164782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9</xdr:col>
      <xdr:colOff>247650</xdr:colOff>
      <xdr:row>64</xdr:row>
      <xdr:rowOff>190500</xdr:rowOff>
    </xdr:from>
    <xdr:ext cx="3438525" cy="1962150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 t="s">
        <v>9</v>
      </c>
      <c r="B3" s="3">
        <f t="shared" ref="B3:F3" si="1">1-B4</f>
        <v>0.842</v>
      </c>
      <c r="C3" s="3">
        <f t="shared" si="1"/>
        <v>0.8934</v>
      </c>
      <c r="D3" s="3">
        <f t="shared" si="1"/>
        <v>0.7443</v>
      </c>
      <c r="E3" s="3">
        <f t="shared" si="1"/>
        <v>0.6974</v>
      </c>
      <c r="F3" s="3">
        <f t="shared" si="1"/>
        <v>0.6824</v>
      </c>
      <c r="G3" s="4">
        <f t="shared" ref="G3:G5" si="2">AVERAGE(B3:F3)</f>
        <v>0.7719</v>
      </c>
      <c r="H3" s="4">
        <f>(1.0368+0.0743+0.8851+0.8938+0.9072)/5</f>
        <v>0.75944</v>
      </c>
    </row>
    <row r="4">
      <c r="A4" s="3" t="s">
        <v>10</v>
      </c>
      <c r="B4" s="3">
        <v>0.158</v>
      </c>
      <c r="C4" s="3">
        <v>0.1066</v>
      </c>
      <c r="D4" s="3">
        <v>0.2557</v>
      </c>
      <c r="E4" s="3">
        <v>0.3026</v>
      </c>
      <c r="F4" s="3">
        <v>0.3176</v>
      </c>
      <c r="G4" s="4">
        <f t="shared" si="2"/>
        <v>0.2281</v>
      </c>
      <c r="H4" s="4">
        <f>(1.037+0.0743+0.8904+0.9057+0.9226)/5</f>
        <v>0.766</v>
      </c>
    </row>
    <row r="5">
      <c r="A5" s="3" t="s">
        <v>11</v>
      </c>
      <c r="B5" s="3">
        <v>1.0</v>
      </c>
      <c r="C5" s="3">
        <v>1.0</v>
      </c>
      <c r="D5" s="3">
        <v>1.0</v>
      </c>
      <c r="E5" s="3">
        <v>1.0</v>
      </c>
      <c r="F5" s="3">
        <v>1.0</v>
      </c>
      <c r="G5" s="4">
        <f t="shared" si="2"/>
        <v>1</v>
      </c>
      <c r="H5" s="4">
        <f>(1.055+0.0761+1.8155+2.127)/5</f>
        <v>1.01472</v>
      </c>
    </row>
    <row r="7">
      <c r="A7" s="2"/>
      <c r="B7" s="2"/>
      <c r="C7" s="2"/>
      <c r="D7" s="2"/>
      <c r="E7" s="2"/>
      <c r="F7" s="2"/>
      <c r="G7" s="2"/>
      <c r="H7" s="2"/>
    </row>
    <row r="8">
      <c r="A8" s="5" t="s">
        <v>12</v>
      </c>
      <c r="B8" s="2"/>
      <c r="C8" s="2"/>
      <c r="D8" s="2"/>
      <c r="E8" s="2"/>
      <c r="F8" s="2"/>
      <c r="G8" s="2"/>
      <c r="H8" s="2"/>
    </row>
    <row r="9">
      <c r="A9" s="2" t="s">
        <v>13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J9" s="2"/>
    </row>
    <row r="10">
      <c r="A10" s="3">
        <v>8.0</v>
      </c>
      <c r="B10" s="3">
        <v>0.8429</v>
      </c>
      <c r="C10" s="3">
        <v>0.9477</v>
      </c>
      <c r="D10" s="3">
        <v>0.7961</v>
      </c>
      <c r="E10" s="3">
        <v>0.7533</v>
      </c>
      <c r="F10" s="3">
        <v>0.7508</v>
      </c>
      <c r="G10" s="4">
        <f t="shared" ref="G10:G14" si="3">AVERAGE(B10:F10)</f>
        <v>0.81816</v>
      </c>
      <c r="H10" s="4">
        <f>(1.0529+0.0759+1.3949+1.522+1.5717)/5</f>
        <v>1.12348</v>
      </c>
      <c r="J10" s="2"/>
    </row>
    <row r="11">
      <c r="A11" s="3">
        <v>32.0</v>
      </c>
      <c r="B11" s="3">
        <v>0.8446</v>
      </c>
      <c r="C11" s="3">
        <v>0.9515</v>
      </c>
      <c r="D11" s="3">
        <v>0.8733</v>
      </c>
      <c r="E11" s="3">
        <v>0.8296</v>
      </c>
      <c r="F11" s="3">
        <v>0.8466</v>
      </c>
      <c r="G11" s="4">
        <f t="shared" si="3"/>
        <v>0.86912</v>
      </c>
      <c r="H11" s="4">
        <f>(1.053+0.0759+1.5264+1.5951+1.7469)/5</f>
        <v>1.19946</v>
      </c>
      <c r="J11" s="2"/>
    </row>
    <row r="12">
      <c r="A12" s="3">
        <v>128.0</v>
      </c>
      <c r="B12" s="3">
        <v>0.8446</v>
      </c>
      <c r="C12" s="3">
        <v>0.9516</v>
      </c>
      <c r="D12" s="3">
        <v>0.8991</v>
      </c>
      <c r="E12" s="3">
        <v>0.8848</v>
      </c>
      <c r="F12" s="3">
        <v>0.9119</v>
      </c>
      <c r="G12" s="4">
        <f t="shared" si="3"/>
        <v>0.8984</v>
      </c>
      <c r="H12" s="4">
        <f>(1.053+0.0759+1.5756+1.7276+1.8704)/5</f>
        <v>1.2605</v>
      </c>
      <c r="J12" s="2"/>
    </row>
    <row r="13">
      <c r="A13" s="3">
        <v>512.0</v>
      </c>
      <c r="B13" s="3">
        <v>0.8463</v>
      </c>
      <c r="C13" s="3">
        <v>0.9516</v>
      </c>
      <c r="D13" s="3">
        <v>0.8995</v>
      </c>
      <c r="E13" s="3">
        <v>0.9608</v>
      </c>
      <c r="F13" s="3">
        <v>0.9611</v>
      </c>
      <c r="G13" s="4">
        <f t="shared" si="3"/>
        <v>0.92386</v>
      </c>
      <c r="H13" s="4">
        <f>(1.053+0.0759+1.5765+1.929+2.0403)/5</f>
        <v>1.33494</v>
      </c>
      <c r="J13" s="2"/>
    </row>
    <row r="14">
      <c r="A14" s="3">
        <v>2048.0</v>
      </c>
      <c r="B14" s="3">
        <v>0.8463</v>
      </c>
      <c r="C14" s="3">
        <v>0.9516</v>
      </c>
      <c r="D14" s="3">
        <v>0.8995</v>
      </c>
      <c r="E14" s="3">
        <v>0.9661</v>
      </c>
      <c r="F14" s="3">
        <v>0.9704</v>
      </c>
      <c r="G14" s="4">
        <f t="shared" si="3"/>
        <v>0.92678</v>
      </c>
      <c r="H14" s="4">
        <f>(1.053+0.0759+1.5765+1.9587+2.0747)/5</f>
        <v>1.34776</v>
      </c>
      <c r="J14" s="2"/>
    </row>
    <row r="15">
      <c r="J15" s="2"/>
    </row>
    <row r="16">
      <c r="J16" s="2"/>
    </row>
    <row r="17">
      <c r="A17" s="1" t="s">
        <v>14</v>
      </c>
    </row>
    <row r="18">
      <c r="A18" s="2" t="s">
        <v>13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</row>
    <row r="19">
      <c r="A19" s="3">
        <v>8.0</v>
      </c>
      <c r="B19" s="3">
        <v>0.809</v>
      </c>
      <c r="C19" s="3">
        <v>0.9275</v>
      </c>
      <c r="D19" s="3">
        <v>0.7594</v>
      </c>
      <c r="E19" s="3">
        <v>0.7214</v>
      </c>
      <c r="F19" s="3">
        <v>0.7019</v>
      </c>
      <c r="G19" s="4">
        <f t="shared" ref="G19:G23" si="4">AVERAGE(B19:F19)</f>
        <v>0.78384</v>
      </c>
      <c r="H19" s="4">
        <f>(1.049+0.0758+1.344+1.4743+1.4431)/5</f>
        <v>1.07724</v>
      </c>
    </row>
    <row r="20">
      <c r="A20" s="3">
        <v>32.0</v>
      </c>
      <c r="B20" s="3">
        <v>0.9781</v>
      </c>
      <c r="C20" s="3">
        <v>0.9423</v>
      </c>
      <c r="D20" s="3">
        <v>0.8114</v>
      </c>
      <c r="E20" s="3">
        <v>0.7346</v>
      </c>
      <c r="F20" s="3">
        <v>0.7672</v>
      </c>
      <c r="G20" s="4">
        <f t="shared" si="4"/>
        <v>0.84672</v>
      </c>
      <c r="H20" s="4">
        <f>(1.056+0.0758+1.4207+1.4537+1.5735)/5</f>
        <v>1.11594</v>
      </c>
    </row>
    <row r="21">
      <c r="A21" s="3">
        <v>128.0</v>
      </c>
      <c r="B21" s="3">
        <v>0.994</v>
      </c>
      <c r="C21" s="3">
        <v>0.9825</v>
      </c>
      <c r="D21" s="3">
        <v>0.8537</v>
      </c>
      <c r="E21" s="3">
        <v>0.8339</v>
      </c>
      <c r="F21" s="3">
        <v>0.8448</v>
      </c>
      <c r="G21" s="4">
        <f t="shared" si="4"/>
        <v>0.90178</v>
      </c>
      <c r="H21" s="4">
        <f>(1.0564+0.076+1.4958+1.6246+1.7305)/5</f>
        <v>1.19666</v>
      </c>
    </row>
    <row r="22">
      <c r="A22" s="3">
        <v>512.0</v>
      </c>
      <c r="B22" s="3">
        <v>0.9957</v>
      </c>
      <c r="C22" s="3">
        <v>0.994</v>
      </c>
      <c r="D22" s="3">
        <v>0.8877</v>
      </c>
      <c r="E22" s="3">
        <v>0.9138</v>
      </c>
      <c r="F22" s="3">
        <v>0.9296</v>
      </c>
      <c r="G22" s="4">
        <f t="shared" si="4"/>
        <v>0.94416</v>
      </c>
      <c r="H22" s="4">
        <f>(1.0564+0.0761+1.555+1.842+1.9599)/5</f>
        <v>1.29788</v>
      </c>
    </row>
    <row r="23">
      <c r="A23" s="3">
        <v>2048.0</v>
      </c>
      <c r="B23" s="3">
        <v>0.9957</v>
      </c>
      <c r="C23" s="3">
        <v>0.9941</v>
      </c>
      <c r="D23" s="3">
        <v>0.9097</v>
      </c>
      <c r="E23" s="3">
        <v>0.9623</v>
      </c>
      <c r="F23" s="3">
        <v>0.9701</v>
      </c>
      <c r="G23" s="6">
        <f t="shared" si="4"/>
        <v>0.96638</v>
      </c>
      <c r="H23" s="6">
        <f>(1.0564+0.0761+1.5999+1.9893+2.095)/5</f>
        <v>1.36334</v>
      </c>
    </row>
    <row r="26">
      <c r="A26" s="1" t="s">
        <v>15</v>
      </c>
    </row>
    <row r="27">
      <c r="A27" s="2" t="s">
        <v>13</v>
      </c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  <c r="G27" s="2" t="s">
        <v>7</v>
      </c>
      <c r="H27" s="2" t="s">
        <v>8</v>
      </c>
    </row>
    <row r="28">
      <c r="A28" s="3">
        <v>8.0</v>
      </c>
      <c r="B28" s="3">
        <v>0.8352</v>
      </c>
      <c r="C28" s="3">
        <v>0.8963</v>
      </c>
      <c r="D28" s="3">
        <v>0.7858</v>
      </c>
      <c r="E28" s="3">
        <v>0.7488</v>
      </c>
      <c r="F28" s="3">
        <v>0.7617</v>
      </c>
      <c r="G28" s="4">
        <f t="shared" ref="G28:G32" si="5">AVERAGE(B28:F28)</f>
        <v>0.80556</v>
      </c>
      <c r="H28" s="4">
        <f>(1.0525+0.0758+1.3917+1.51+1.5564)/5</f>
        <v>1.11728</v>
      </c>
    </row>
    <row r="29">
      <c r="A29" s="3">
        <v>32.0</v>
      </c>
      <c r="B29" s="3">
        <v>0.9326</v>
      </c>
      <c r="C29" s="3">
        <v>0.8909</v>
      </c>
      <c r="D29" s="3">
        <v>0.8104</v>
      </c>
      <c r="E29" s="3">
        <v>0.758</v>
      </c>
      <c r="F29" s="3">
        <v>0.7598</v>
      </c>
      <c r="G29" s="4">
        <f t="shared" si="5"/>
        <v>0.83034</v>
      </c>
      <c r="H29" s="4">
        <f>(1.0557+0.0758+1.4229+1.5274+1.5788)/5</f>
        <v>1.13212</v>
      </c>
    </row>
    <row r="30">
      <c r="A30" s="3">
        <v>128.0</v>
      </c>
      <c r="B30" s="3">
        <v>0.9365</v>
      </c>
      <c r="C30" s="3">
        <v>0.903</v>
      </c>
      <c r="D30" s="3">
        <v>0.8381</v>
      </c>
      <c r="E30" s="3">
        <v>0.7766</v>
      </c>
      <c r="F30" s="3">
        <v>0.8041</v>
      </c>
      <c r="G30" s="4">
        <f t="shared" si="5"/>
        <v>0.85166</v>
      </c>
      <c r="H30" s="4">
        <f>(1.0557+0.0759+1.475+1.5111+1.6338)/5</f>
        <v>1.1503</v>
      </c>
    </row>
    <row r="31">
      <c r="A31" s="3">
        <v>512.0</v>
      </c>
      <c r="B31" s="3">
        <v>0.9364</v>
      </c>
      <c r="C31" s="3">
        <v>0.9163</v>
      </c>
      <c r="D31" s="3">
        <v>0.8467</v>
      </c>
      <c r="E31" s="3">
        <v>0.8077</v>
      </c>
      <c r="F31" s="3">
        <v>0.827</v>
      </c>
      <c r="G31" s="4">
        <f t="shared" si="5"/>
        <v>0.86682</v>
      </c>
      <c r="H31" s="4">
        <f>(1.0557+0.076+1.4933+1.5746+1.6567)/5</f>
        <v>1.17126</v>
      </c>
    </row>
    <row r="32">
      <c r="A32" s="3">
        <v>2048.0</v>
      </c>
      <c r="B32" s="3">
        <v>0.9352</v>
      </c>
      <c r="C32" s="3">
        <v>0.9368</v>
      </c>
      <c r="D32" s="3">
        <v>0.8541</v>
      </c>
      <c r="E32" s="3">
        <v>0.8303</v>
      </c>
      <c r="F32" s="3">
        <v>0.8356</v>
      </c>
      <c r="G32" s="4">
        <f t="shared" si="5"/>
        <v>0.8784</v>
      </c>
      <c r="H32" s="4">
        <f>(1.0555+0.076+1.5087+1.6078+1.6763)/5</f>
        <v>1.18486</v>
      </c>
    </row>
    <row r="35">
      <c r="A35" s="1" t="s">
        <v>16</v>
      </c>
    </row>
    <row r="36">
      <c r="A36" s="2" t="s">
        <v>17</v>
      </c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8</v>
      </c>
    </row>
    <row r="37">
      <c r="A37" s="7">
        <v>45751.0</v>
      </c>
      <c r="B37" s="3">
        <v>0.8377</v>
      </c>
      <c r="C37" s="3">
        <v>0.9173</v>
      </c>
      <c r="D37" s="3">
        <v>0.7539</v>
      </c>
      <c r="E37" s="3">
        <v>0.6817</v>
      </c>
      <c r="F37" s="3">
        <v>0.7161</v>
      </c>
      <c r="G37" s="4">
        <f t="shared" ref="G37:G42" si="6">AVERAGE(B37:F37)</f>
        <v>0.78134</v>
      </c>
      <c r="H37" s="4">
        <f>(1.0527+0.0758+1.3214+1.3979+1.47)/5</f>
        <v>1.06356</v>
      </c>
    </row>
    <row r="38">
      <c r="A38" s="3" t="s">
        <v>18</v>
      </c>
      <c r="B38" s="3">
        <v>0.8945</v>
      </c>
      <c r="C38" s="3">
        <v>0.95</v>
      </c>
      <c r="D38" s="3">
        <v>0.8013</v>
      </c>
      <c r="E38" s="3">
        <v>0.7362</v>
      </c>
      <c r="F38" s="3">
        <v>0.7275</v>
      </c>
      <c r="G38" s="4">
        <f t="shared" si="6"/>
        <v>0.8219</v>
      </c>
      <c r="H38" s="4">
        <f>(1.0556+0.0759+1.405+1.4903+1.499)/5</f>
        <v>1.10516</v>
      </c>
    </row>
    <row r="39">
      <c r="A39" s="3" t="s">
        <v>19</v>
      </c>
      <c r="B39" s="3">
        <v>0.9811</v>
      </c>
      <c r="C39" s="3">
        <v>0.9488</v>
      </c>
      <c r="D39" s="3">
        <v>0.8597</v>
      </c>
      <c r="E39" s="3">
        <v>0.8126</v>
      </c>
      <c r="F39" s="3">
        <v>0.807</v>
      </c>
      <c r="G39" s="4">
        <f t="shared" si="6"/>
        <v>0.88184</v>
      </c>
      <c r="H39" s="4">
        <f>(1.056+0.0759+1.4968+1.6081+1.6603)/5</f>
        <v>1.17942</v>
      </c>
    </row>
    <row r="40">
      <c r="A40" s="3" t="s">
        <v>20</v>
      </c>
      <c r="B40" s="3">
        <v>0.9862</v>
      </c>
      <c r="C40" s="3">
        <v>0.946</v>
      </c>
      <c r="D40" s="3">
        <v>0.8817</v>
      </c>
      <c r="E40" s="3">
        <v>0.8789</v>
      </c>
      <c r="F40" s="3">
        <v>0.8861</v>
      </c>
      <c r="G40" s="4">
        <f t="shared" si="6"/>
        <v>0.91578</v>
      </c>
      <c r="H40" s="4">
        <f>(1.056+0.0759+1.5411+1.7532+1.8273)/5</f>
        <v>1.2507</v>
      </c>
    </row>
    <row r="41">
      <c r="A41" s="3" t="s">
        <v>21</v>
      </c>
      <c r="B41" s="3">
        <v>0.9897</v>
      </c>
      <c r="C41" s="3">
        <v>0.9941</v>
      </c>
      <c r="D41" s="3">
        <v>0.8839</v>
      </c>
      <c r="E41" s="3">
        <v>0.9337</v>
      </c>
      <c r="F41" s="3">
        <v>0.9219</v>
      </c>
      <c r="G41" s="4">
        <f t="shared" si="6"/>
        <v>0.94466</v>
      </c>
      <c r="H41" s="4">
        <f>(1.0562+0.0761+1.5441+1.9179+1.9358)/5</f>
        <v>1.30602</v>
      </c>
    </row>
    <row r="42">
      <c r="A42" s="3" t="s">
        <v>22</v>
      </c>
      <c r="B42" s="3">
        <v>0.9897</v>
      </c>
      <c r="C42" s="3">
        <v>0.994</v>
      </c>
      <c r="D42" s="3">
        <v>0.8869</v>
      </c>
      <c r="E42" s="3">
        <v>0.935</v>
      </c>
      <c r="F42" s="3">
        <v>0.9167</v>
      </c>
      <c r="G42" s="4">
        <f t="shared" si="6"/>
        <v>0.94446</v>
      </c>
      <c r="H42" s="4">
        <f>(1.0562+0.0761+1.5496+1.9217+1.9171)/5</f>
        <v>1.30414</v>
      </c>
    </row>
    <row r="46">
      <c r="A46" s="1" t="s">
        <v>23</v>
      </c>
    </row>
    <row r="47">
      <c r="A47" s="8" t="s">
        <v>24</v>
      </c>
      <c r="B47" s="8" t="s">
        <v>25</v>
      </c>
      <c r="C47" s="8" t="s">
        <v>26</v>
      </c>
      <c r="D47" s="8" t="s">
        <v>27</v>
      </c>
      <c r="E47" s="8" t="s">
        <v>28</v>
      </c>
      <c r="F47" s="8" t="s">
        <v>29</v>
      </c>
      <c r="G47" s="8" t="s">
        <v>30</v>
      </c>
      <c r="H47" s="8" t="s">
        <v>31</v>
      </c>
    </row>
    <row r="48">
      <c r="A48" s="3">
        <v>8.0</v>
      </c>
      <c r="B48" s="3">
        <v>0.2281</v>
      </c>
      <c r="C48" s="3">
        <v>0.7719</v>
      </c>
      <c r="D48" s="3">
        <v>1.0</v>
      </c>
      <c r="E48" s="3">
        <v>0.81816</v>
      </c>
      <c r="F48" s="3">
        <v>0.78384</v>
      </c>
      <c r="G48" s="3">
        <v>0.80556</v>
      </c>
      <c r="H48" s="3">
        <v>0.78134</v>
      </c>
    </row>
    <row r="49">
      <c r="A49" s="3">
        <v>32.0</v>
      </c>
      <c r="B49" s="3">
        <v>0.2281</v>
      </c>
      <c r="C49" s="3">
        <v>0.7719</v>
      </c>
      <c r="D49" s="3">
        <v>1.0</v>
      </c>
      <c r="E49" s="3">
        <v>0.86912</v>
      </c>
      <c r="F49" s="3">
        <v>0.84672</v>
      </c>
      <c r="G49" s="3">
        <v>0.83034</v>
      </c>
      <c r="H49" s="3">
        <v>0.8219</v>
      </c>
    </row>
    <row r="50">
      <c r="A50" s="3">
        <v>128.0</v>
      </c>
      <c r="B50" s="3">
        <v>0.2281</v>
      </c>
      <c r="C50" s="3">
        <v>0.7719</v>
      </c>
      <c r="D50" s="3">
        <v>1.0</v>
      </c>
      <c r="E50" s="3">
        <v>0.8984</v>
      </c>
      <c r="F50" s="3">
        <v>0.90178</v>
      </c>
      <c r="G50" s="3">
        <v>0.85166</v>
      </c>
      <c r="H50" s="3">
        <v>0.88184</v>
      </c>
    </row>
    <row r="51">
      <c r="A51" s="3">
        <v>512.0</v>
      </c>
      <c r="B51" s="3">
        <v>0.2281</v>
      </c>
      <c r="C51" s="3">
        <v>0.7719</v>
      </c>
      <c r="D51" s="3">
        <v>1.0</v>
      </c>
      <c r="E51" s="3">
        <v>0.92386</v>
      </c>
      <c r="F51" s="3">
        <v>0.94416</v>
      </c>
      <c r="G51" s="3">
        <v>0.86682</v>
      </c>
      <c r="H51" s="3">
        <v>0.91578</v>
      </c>
    </row>
    <row r="52">
      <c r="A52" s="3">
        <v>2048.0</v>
      </c>
      <c r="B52" s="3">
        <v>0.2281</v>
      </c>
      <c r="C52" s="3">
        <v>0.7719</v>
      </c>
      <c r="D52" s="3">
        <v>1.0</v>
      </c>
      <c r="E52" s="3">
        <v>0.92678</v>
      </c>
      <c r="F52" s="3">
        <v>0.96638</v>
      </c>
      <c r="G52" s="3">
        <v>0.8784</v>
      </c>
      <c r="H52" s="3">
        <v>0.94466</v>
      </c>
    </row>
    <row r="56">
      <c r="A56" s="1" t="s">
        <v>32</v>
      </c>
    </row>
    <row r="57">
      <c r="A57" s="8" t="s">
        <v>33</v>
      </c>
      <c r="B57" s="8" t="s">
        <v>2</v>
      </c>
      <c r="C57" s="8" t="s">
        <v>3</v>
      </c>
      <c r="D57" s="8" t="s">
        <v>4</v>
      </c>
      <c r="E57" s="8" t="s">
        <v>5</v>
      </c>
      <c r="F57" s="8" t="s">
        <v>6</v>
      </c>
      <c r="G57" s="8" t="s">
        <v>7</v>
      </c>
      <c r="H57" s="8" t="s">
        <v>8</v>
      </c>
    </row>
    <row r="58">
      <c r="A58" s="3" t="s">
        <v>34</v>
      </c>
      <c r="B58" s="3">
        <v>0.67</v>
      </c>
      <c r="C58" s="3">
        <v>0.8628</v>
      </c>
      <c r="D58" s="3">
        <v>0.7436</v>
      </c>
      <c r="E58" s="3">
        <v>0.6777</v>
      </c>
      <c r="F58" s="3">
        <v>0.6476</v>
      </c>
      <c r="G58" s="4">
        <f t="shared" ref="G58:G61" si="7">AVERAGE(B58:F58)</f>
        <v>0.72034</v>
      </c>
      <c r="H58" s="4">
        <f>(1.0451+0.0756+1.3101+1.3983+1.3581)/5</f>
        <v>1.03744</v>
      </c>
    </row>
    <row r="59">
      <c r="A59" s="3" t="s">
        <v>35</v>
      </c>
      <c r="B59" s="3">
        <v>0.7708</v>
      </c>
      <c r="C59" s="3">
        <v>0.9025</v>
      </c>
      <c r="D59" s="3">
        <v>0.8293</v>
      </c>
      <c r="E59" s="3">
        <v>0.7947</v>
      </c>
      <c r="F59" s="3">
        <v>0.7953</v>
      </c>
      <c r="G59" s="4">
        <f t="shared" si="7"/>
        <v>0.81852</v>
      </c>
      <c r="H59" s="4">
        <f>(1.0508+0.0758+1.4451+1.5707+1.6132)/5</f>
        <v>1.15112</v>
      </c>
    </row>
    <row r="60">
      <c r="A60" s="3" t="s">
        <v>36</v>
      </c>
      <c r="B60" s="3">
        <v>0.7734</v>
      </c>
      <c r="C60" s="3">
        <v>0.9351</v>
      </c>
      <c r="D60" s="3">
        <v>0.8561</v>
      </c>
      <c r="E60" s="3">
        <v>0.8358</v>
      </c>
      <c r="F60" s="3">
        <v>0.8529</v>
      </c>
      <c r="G60" s="4">
        <f t="shared" si="7"/>
        <v>0.85066</v>
      </c>
      <c r="H60" s="3">
        <f>(1.051+0.0759+1.7529+1.6402+1.4922)/5</f>
        <v>1.20244</v>
      </c>
    </row>
    <row r="61">
      <c r="A61" s="3" t="s">
        <v>37</v>
      </c>
      <c r="B61" s="3">
        <v>0.7892</v>
      </c>
      <c r="C61" s="3">
        <v>0.9354</v>
      </c>
      <c r="D61" s="3">
        <v>0.8638</v>
      </c>
      <c r="E61" s="3">
        <v>0.9391</v>
      </c>
      <c r="F61" s="3">
        <v>0.9455</v>
      </c>
      <c r="G61" s="4">
        <f t="shared" si="7"/>
        <v>0.8946</v>
      </c>
      <c r="H61" s="3">
        <f>(1.0526+0.0759+1.508+1.8842+1.9968)/5</f>
        <v>1.3035</v>
      </c>
    </row>
    <row r="65">
      <c r="A65" s="1" t="s">
        <v>23</v>
      </c>
    </row>
    <row r="66">
      <c r="A66" s="8" t="s">
        <v>24</v>
      </c>
      <c r="B66" s="8" t="s">
        <v>25</v>
      </c>
      <c r="C66" s="8" t="s">
        <v>26</v>
      </c>
      <c r="D66" s="8" t="s">
        <v>27</v>
      </c>
      <c r="E66" s="8" t="s">
        <v>28</v>
      </c>
      <c r="F66" s="8" t="s">
        <v>29</v>
      </c>
      <c r="G66" s="8" t="s">
        <v>30</v>
      </c>
      <c r="H66" s="8" t="s">
        <v>31</v>
      </c>
      <c r="I66" s="8" t="s">
        <v>38</v>
      </c>
    </row>
    <row r="67">
      <c r="A67" s="3">
        <v>8.0</v>
      </c>
      <c r="B67" s="3">
        <v>0.2281</v>
      </c>
      <c r="C67" s="3">
        <v>0.7719</v>
      </c>
      <c r="D67" s="3">
        <v>1.0</v>
      </c>
      <c r="E67" s="3">
        <v>0.81816</v>
      </c>
      <c r="F67" s="3">
        <v>0.78384</v>
      </c>
      <c r="G67" s="3">
        <v>0.80556</v>
      </c>
      <c r="H67" s="3">
        <v>0.78134</v>
      </c>
      <c r="I67" s="3">
        <v>0.72034</v>
      </c>
    </row>
    <row r="68">
      <c r="A68" s="3">
        <v>32.0</v>
      </c>
      <c r="B68" s="3">
        <v>0.2281</v>
      </c>
      <c r="C68" s="3">
        <v>0.7719</v>
      </c>
      <c r="D68" s="3">
        <v>1.0</v>
      </c>
      <c r="E68" s="3">
        <v>0.86912</v>
      </c>
      <c r="F68" s="3">
        <v>0.84672</v>
      </c>
      <c r="G68" s="3">
        <v>0.83034</v>
      </c>
      <c r="H68" s="3">
        <v>0.8219</v>
      </c>
      <c r="I68" s="3">
        <v>0.81852</v>
      </c>
    </row>
    <row r="69">
      <c r="A69" s="3">
        <v>128.0</v>
      </c>
      <c r="B69" s="3">
        <v>0.2281</v>
      </c>
      <c r="C69" s="3">
        <v>0.7719</v>
      </c>
      <c r="D69" s="3">
        <v>1.0</v>
      </c>
      <c r="E69" s="3">
        <v>0.8984</v>
      </c>
      <c r="F69" s="3">
        <v>0.90178</v>
      </c>
      <c r="G69" s="3">
        <v>0.85166</v>
      </c>
      <c r="H69" s="3">
        <v>0.88184</v>
      </c>
      <c r="I69" s="3">
        <v>0.85066</v>
      </c>
    </row>
    <row r="70">
      <c r="A70" s="3">
        <v>512.0</v>
      </c>
      <c r="B70" s="3">
        <v>0.2281</v>
      </c>
      <c r="C70" s="3">
        <v>0.7719</v>
      </c>
      <c r="D70" s="3">
        <v>1.0</v>
      </c>
      <c r="E70" s="3">
        <v>0.92386</v>
      </c>
      <c r="F70" s="3">
        <v>0.94416</v>
      </c>
      <c r="G70" s="3">
        <v>0.86682</v>
      </c>
      <c r="H70" s="3">
        <v>0.91578</v>
      </c>
      <c r="I70" s="3">
        <v>0.8946</v>
      </c>
    </row>
  </sheetData>
  <drawing r:id="rId1"/>
</worksheet>
</file>